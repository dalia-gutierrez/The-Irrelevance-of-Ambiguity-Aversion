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gu\Python\Quantum_finance\"/>
    </mc:Choice>
  </mc:AlternateContent>
  <xr:revisionPtr revIDLastSave="0" documentId="13_ncr:1_{60CF0372-39FA-408E-804B-30741AD00D0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1" l="1" a="1"/>
  <c r="S13" i="1" s="1"/>
  <c r="R13" i="1" a="1"/>
  <c r="R13" i="1" s="1"/>
  <c r="S12" i="1"/>
  <c r="S3" i="1"/>
  <c r="S4" i="1"/>
  <c r="S5" i="1"/>
  <c r="S6" i="1"/>
  <c r="S7" i="1"/>
  <c r="S8" i="1"/>
  <c r="S9" i="1"/>
  <c r="S10" i="1"/>
  <c r="S11" i="1"/>
  <c r="S2" i="1"/>
  <c r="R12" i="1"/>
  <c r="R3" i="1"/>
  <c r="R4" i="1"/>
  <c r="R5" i="1"/>
  <c r="R6" i="1"/>
  <c r="R7" i="1"/>
  <c r="R8" i="1"/>
  <c r="R9" i="1"/>
  <c r="R10" i="1"/>
  <c r="R11" i="1"/>
  <c r="R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<sst xmlns="http://schemas.openxmlformats.org/spreadsheetml/2006/main" count="20" uniqueCount="20">
  <si>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Time</t>
  </si>
  <si>
    <t>Risk-free rate (mean)</t>
  </si>
  <si>
    <t>Risk-free rate (10th pct)</t>
  </si>
  <si>
    <t>Risk-free rate (90th pct)</t>
  </si>
  <si>
    <t>Asset 1 return (mean)</t>
  </si>
  <si>
    <t>Asset 1 return (10th pct)</t>
  </si>
  <si>
    <t>Asset 1 return (90th pct)</t>
  </si>
  <si>
    <t>Asset 2 return (mean)</t>
  </si>
  <si>
    <t>Asset 2 return (10th pct)</t>
  </si>
  <si>
    <t>Asset 2 return (90th pct)</t>
  </si>
  <si>
    <t>Asset 1 price (mean)</t>
  </si>
  <si>
    <t>Asset 1 price (10th pct)</t>
  </si>
  <si>
    <t>Asset 1 price (90th pct)</t>
  </si>
  <si>
    <t>Asset 2 price (mean)</t>
  </si>
  <si>
    <t>Asset 2 price (10th pct)</t>
  </si>
  <si>
    <t>Asset 2 price (90th pct)</t>
  </si>
  <si>
    <t>equity (uncertainty)</t>
  </si>
  <si>
    <t>risk</t>
  </si>
  <si>
    <t>mean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</si>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</sst>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returns+Sheet1!$R$2:$R$11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Sheet1!$R$2:$R$11</c:f>
              <c:numCache>
                <c:formatCode>General</c:formatCode>
                <c:ptCount val="10"/>
                <c:pt idx="0">
                  <c:v>9.6301265064558245E-3</c:v>
                </c:pt>
                <c:pt idx="1">
                  <c:v>3.4978092668119277E-2</c:v>
                </c:pt>
                <c:pt idx="2">
                  <c:v>1.4699964476914268E-2</c:v>
                </c:pt>
                <c:pt idx="3">
                  <c:v>5.0186486996998361E-2</c:v>
                </c:pt>
                <c:pt idx="4">
                  <c:v>2.9908471236294101E-2</c:v>
                </c:pt>
                <c:pt idx="5">
                  <c:v>2.483896669833429E-2</c:v>
                </c:pt>
                <c:pt idx="6">
                  <c:v>1.976946172229755E-2</c:v>
                </c:pt>
                <c:pt idx="7">
                  <c:v>5.0186480410304497E-2</c:v>
                </c:pt>
                <c:pt idx="8">
                  <c:v>2.990820353680796E-2</c:v>
                </c:pt>
                <c:pt idx="9">
                  <c:v>-5.0882155089218561E-4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1-43CB-A764-6C1066CAB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721136"/>
        <c:axId val="1850724976"/>
      </c:lineChart>
      <c:catAx>
        <c:axId val="185072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50724976"/>
        <c:crosses val="autoZero"/>
        <c:auto val="1"/>
        <c:lblAlgn val="ctr"/>
        <c:lblOffset val="100"/>
        <c:noMultiLvlLbl val="0"/>
      </c:catAx>
      <c:valAx>
        <c:axId val="185072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5072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384175</xdr:colOff>
      <xdr:row>9</xdr:row>
      <xdr:rowOff>139700</xdr:rowOff>
    </xdr:from>
    <xdr:to>
      <xdr:col>15</xdr:col>
      <xdr:colOff>79375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FAC2B-AEEE-EEDC-67B5-75B70EAE7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Q14" sqref="Q14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16</v>
      </c>
      <c r="S1" s="2" t="s">
        <v>17</v>
      </c>
    </row>
    <row r="2" spans="1:19" x14ac:dyDescent="0.35">
      <c r="A2">
        <v>0</v>
      </c>
      <c r="B2">
        <v>5.0250855856139857E-2</v>
      </c>
      <c r="C2">
        <v>5.0250855856139857E-2</v>
      </c>
      <c r="D2">
        <v>5.0250855856139857E-2</v>
      </c>
      <c r="E2">
        <v>5.9880982362595682E-2</v>
      </c>
      <c r="F2">
        <v>-5.6717606532613721E-2</v>
      </c>
      <c r="G2">
        <v>0.19675758530987489</v>
      </c>
      <c r="H2">
        <v>7.0020006665375792E-2</v>
      </c>
      <c r="I2">
        <v>-5.6717576550672007E-2</v>
      </c>
      <c r="J2">
        <v>0.1967575904803007</v>
      </c>
      <c r="K2">
        <v>20.019763905294749</v>
      </c>
      <c r="L2">
        <v>19.786566705012241</v>
      </c>
      <c r="M2">
        <v>20.293517137593049</v>
      </c>
      <c r="N2">
        <v>20.040034056028379</v>
      </c>
      <c r="O2">
        <v>19.786558964572709</v>
      </c>
      <c r="P2">
        <v>20.2935091486818</v>
      </c>
      <c r="R2">
        <f>E2-B2</f>
        <v>9.6301265064558245E-3</v>
      </c>
      <c r="S2">
        <f>H2-B2</f>
        <v>1.9769150809235934E-2</v>
      </c>
    </row>
    <row r="3" spans="1:19" x14ac:dyDescent="0.35">
      <c r="A3">
        <v>0.1111111111111111</v>
      </c>
      <c r="B3">
        <v>5.0250406948113203E-2</v>
      </c>
      <c r="C3">
        <v>5.025039152654287E-2</v>
      </c>
      <c r="D3">
        <v>5.0250423380682203E-2</v>
      </c>
      <c r="E3">
        <v>8.5228499616232481E-2</v>
      </c>
      <c r="F3">
        <v>-5.671760638348923E-2</v>
      </c>
      <c r="G3">
        <v>0.19675758350082509</v>
      </c>
      <c r="H3">
        <v>8.0159012468414961E-2</v>
      </c>
      <c r="I3">
        <v>-5.6717586453924218E-2</v>
      </c>
      <c r="J3">
        <v>0.196757596510995</v>
      </c>
      <c r="K3">
        <v>20.09083565544449</v>
      </c>
      <c r="L3">
        <v>19.57540950553501</v>
      </c>
      <c r="M3">
        <v>20.59134016296051</v>
      </c>
      <c r="N3">
        <v>20.100859607391481</v>
      </c>
      <c r="O3">
        <v>19.575402840694661</v>
      </c>
      <c r="P3">
        <v>20.591333130946531</v>
      </c>
      <c r="R3">
        <f t="shared" ref="R3:R11" si="0">E3-B3</f>
        <v>3.4978092668119277E-2</v>
      </c>
      <c r="S3">
        <f t="shared" ref="S3:S11" si="1">H3-B3</f>
        <v>2.9908605520301758E-2</v>
      </c>
    </row>
    <row r="4" spans="1:19" x14ac:dyDescent="0.35">
      <c r="A4">
        <v>0.22222222222222221</v>
      </c>
      <c r="B4">
        <v>5.0250521364048242E-2</v>
      </c>
      <c r="C4">
        <v>5.0250502749700672E-2</v>
      </c>
      <c r="D4">
        <v>5.0250539270275667E-2</v>
      </c>
      <c r="E4">
        <v>6.495048584096251E-2</v>
      </c>
      <c r="F4">
        <v>-5.6717605305016003E-2</v>
      </c>
      <c r="G4">
        <v>0.19675758312320379</v>
      </c>
      <c r="H4">
        <v>7.5089506496069075E-2</v>
      </c>
      <c r="I4">
        <v>-5.6717591134803853E-2</v>
      </c>
      <c r="J4">
        <v>0.1967575976151098</v>
      </c>
      <c r="K4">
        <v>20.120494623335421</v>
      </c>
      <c r="L4">
        <v>19.366505315605611</v>
      </c>
      <c r="M4">
        <v>20.893533423449451</v>
      </c>
      <c r="N4">
        <v>20.15050137104523</v>
      </c>
      <c r="O4">
        <v>19.36649971401636</v>
      </c>
      <c r="P4">
        <v>20.423782236683241</v>
      </c>
      <c r="R4">
        <f t="shared" si="0"/>
        <v>1.4699964476914268E-2</v>
      </c>
      <c r="S4">
        <f t="shared" si="1"/>
        <v>2.4838985132020833E-2</v>
      </c>
    </row>
    <row r="5" spans="1:19" x14ac:dyDescent="0.35">
      <c r="A5">
        <v>0.33333333333333331</v>
      </c>
      <c r="B5">
        <v>5.0250520527094042E-2</v>
      </c>
      <c r="C5">
        <v>5.0250490230780993E-2</v>
      </c>
      <c r="D5">
        <v>5.0250540307248397E-2</v>
      </c>
      <c r="E5">
        <v>0.1004370075240924</v>
      </c>
      <c r="F5">
        <v>-5.6717605254776503E-2</v>
      </c>
      <c r="G5">
        <v>0.19675758309781821</v>
      </c>
      <c r="H5">
        <v>4.9741990398764563E-2</v>
      </c>
      <c r="I5">
        <v>-5.6717591083771522E-2</v>
      </c>
      <c r="J5">
        <v>0.196757597607462</v>
      </c>
      <c r="K5">
        <v>20.221588963186459</v>
      </c>
      <c r="L5">
        <v>19.650723401102621</v>
      </c>
      <c r="M5">
        <v>20.670562724109569</v>
      </c>
      <c r="N5">
        <v>20.149278282061161</v>
      </c>
      <c r="O5">
        <v>19.650717772502858</v>
      </c>
      <c r="P5">
        <v>20.670556794820911</v>
      </c>
      <c r="R5">
        <f t="shared" si="0"/>
        <v>5.0186486996998361E-2</v>
      </c>
      <c r="S5">
        <f t="shared" si="1"/>
        <v>-5.0853012832947908E-4</v>
      </c>
    </row>
    <row r="6" spans="1:19" x14ac:dyDescent="0.35">
      <c r="A6">
        <v>0.44444444444444442</v>
      </c>
      <c r="B6">
        <v>5.0250523549552062E-2</v>
      </c>
      <c r="C6">
        <v>5.025050237856421E-2</v>
      </c>
      <c r="D6">
        <v>5.0250551760665951E-2</v>
      </c>
      <c r="E6">
        <v>8.0158994785846163E-2</v>
      </c>
      <c r="F6">
        <v>-5.6717605280165138E-2</v>
      </c>
      <c r="G6">
        <v>0.19675758305496499</v>
      </c>
      <c r="H6">
        <v>5.9880996542399083E-2</v>
      </c>
      <c r="I6">
        <v>-5.6717591100218831E-2</v>
      </c>
      <c r="J6">
        <v>0.1967575975385413</v>
      </c>
      <c r="K6">
        <v>20.283570698503379</v>
      </c>
      <c r="L6">
        <v>19.441015637752411</v>
      </c>
      <c r="M6">
        <v>20.973918880787039</v>
      </c>
      <c r="N6">
        <v>20.168276382417091</v>
      </c>
      <c r="O6">
        <v>19.441010050556869</v>
      </c>
      <c r="P6">
        <v>20.973912852227361</v>
      </c>
      <c r="R6">
        <f t="shared" si="0"/>
        <v>2.9908471236294101E-2</v>
      </c>
      <c r="S6">
        <f t="shared" si="1"/>
        <v>9.6304729928470209E-3</v>
      </c>
    </row>
    <row r="7" spans="1:19" x14ac:dyDescent="0.35">
      <c r="A7">
        <v>0.55555555555555558</v>
      </c>
      <c r="B7">
        <v>5.0250524666755191E-2</v>
      </c>
      <c r="C7">
        <v>5.0250489859644532E-2</v>
      </c>
      <c r="D7">
        <v>5.0250554998212398E-2</v>
      </c>
      <c r="E7">
        <v>7.5089491365089481E-2</v>
      </c>
      <c r="F7">
        <v>-5.671760525472052E-2</v>
      </c>
      <c r="G7">
        <v>0.1967575830369912</v>
      </c>
      <c r="H7">
        <v>5.9880996279024601E-2</v>
      </c>
      <c r="I7">
        <v>-5.6717591104526018E-2</v>
      </c>
      <c r="J7">
        <v>0.19675759752754721</v>
      </c>
      <c r="K7">
        <v>20.33520009759258</v>
      </c>
      <c r="L7">
        <v>19.726327214691</v>
      </c>
      <c r="M7">
        <v>21.281726973807469</v>
      </c>
      <c r="N7">
        <v>20.18790268141349</v>
      </c>
      <c r="O7">
        <v>19.726321579388731</v>
      </c>
      <c r="P7">
        <v>20.75008435983116</v>
      </c>
      <c r="R7">
        <f t="shared" si="0"/>
        <v>2.483896669833429E-2</v>
      </c>
      <c r="S7">
        <f t="shared" si="1"/>
        <v>9.6304716122694103E-3</v>
      </c>
    </row>
    <row r="8" spans="1:19" x14ac:dyDescent="0.35">
      <c r="A8">
        <v>0.66666666666666663</v>
      </c>
      <c r="B8">
        <v>5.0250525482715337E-2</v>
      </c>
      <c r="C8">
        <v>5.0250488451535347E-2</v>
      </c>
      <c r="D8">
        <v>5.0250557052379019E-2</v>
      </c>
      <c r="E8">
        <v>7.0019987205012887E-2</v>
      </c>
      <c r="F8">
        <v>-5.6717605224769041E-2</v>
      </c>
      <c r="G8">
        <v>0.19675758289764531</v>
      </c>
      <c r="H8">
        <v>4.9741988956780413E-2</v>
      </c>
      <c r="I8">
        <v>-5.6717591114775888E-2</v>
      </c>
      <c r="J8">
        <v>0.19675759741420379</v>
      </c>
      <c r="K8">
        <v>20.375796924015191</v>
      </c>
      <c r="L8">
        <v>19.515812659441039</v>
      </c>
      <c r="M8">
        <v>21.59405242438978</v>
      </c>
      <c r="N8">
        <v>20.189458203126481</v>
      </c>
      <c r="O8">
        <v>19.515807031845011</v>
      </c>
      <c r="P8">
        <v>21.054607544413521</v>
      </c>
      <c r="R8">
        <f t="shared" si="0"/>
        <v>1.976946172229755E-2</v>
      </c>
      <c r="S8">
        <f t="shared" si="1"/>
        <v>-5.0853652593492449E-4</v>
      </c>
    </row>
    <row r="9" spans="1:19" x14ac:dyDescent="0.35">
      <c r="A9">
        <v>0.77777777777777768</v>
      </c>
      <c r="B9">
        <v>5.0250526697721697E-2</v>
      </c>
      <c r="C9">
        <v>5.0250487043426162E-2</v>
      </c>
      <c r="D9">
        <v>5.0250569689178633E-2</v>
      </c>
      <c r="E9">
        <v>0.10043700710802619</v>
      </c>
      <c r="F9">
        <v>-5.6717605290738153E-2</v>
      </c>
      <c r="G9">
        <v>0.19675758308497199</v>
      </c>
      <c r="H9">
        <v>4.4672486818872557E-2</v>
      </c>
      <c r="I9">
        <v>-5.6717591120297013E-2</v>
      </c>
      <c r="J9">
        <v>0.19675759751299671</v>
      </c>
      <c r="K9">
        <v>20.479321568905771</v>
      </c>
      <c r="L9">
        <v>19.8022219429226</v>
      </c>
      <c r="M9">
        <v>21.418341550623222</v>
      </c>
      <c r="N9">
        <v>20.17806688190543</v>
      </c>
      <c r="O9">
        <v>19.307539062806558</v>
      </c>
      <c r="P9">
        <v>20.82991787361437</v>
      </c>
      <c r="R9">
        <f t="shared" si="0"/>
        <v>5.0186480410304497E-2</v>
      </c>
      <c r="S9">
        <f t="shared" si="1"/>
        <v>-5.5780398788491392E-3</v>
      </c>
    </row>
    <row r="10" spans="1:19" x14ac:dyDescent="0.35">
      <c r="A10">
        <v>0.88888888888888884</v>
      </c>
      <c r="B10">
        <v>5.0250791704323207E-2</v>
      </c>
      <c r="C10">
        <v>5.0250767952206177E-2</v>
      </c>
      <c r="D10">
        <v>5.0250826102795632E-2</v>
      </c>
      <c r="E10">
        <v>8.0158995241131167E-2</v>
      </c>
      <c r="F10">
        <v>-5.6717608805546868E-2</v>
      </c>
      <c r="G10">
        <v>0.19675758853438621</v>
      </c>
      <c r="H10">
        <v>5.9881004909106438E-2</v>
      </c>
      <c r="I10">
        <v>-5.6717590073364313E-2</v>
      </c>
      <c r="J10">
        <v>0.1967576125668026</v>
      </c>
      <c r="K10">
        <v>20.541824371317951</v>
      </c>
      <c r="L10">
        <v>19.590897328800501</v>
      </c>
      <c r="M10">
        <v>21.677132944644711</v>
      </c>
      <c r="N10">
        <v>20.199885129237881</v>
      </c>
      <c r="O10">
        <v>19.101491115118691</v>
      </c>
      <c r="P10">
        <v>21.135609812773389</v>
      </c>
      <c r="R10">
        <f t="shared" si="0"/>
        <v>2.990820353680796E-2</v>
      </c>
      <c r="S10">
        <f t="shared" si="1"/>
        <v>9.6302132047832306E-3</v>
      </c>
    </row>
    <row r="11" spans="1:19" x14ac:dyDescent="0.35">
      <c r="A11">
        <v>1</v>
      </c>
      <c r="B11">
        <v>5.0250796074528432E-2</v>
      </c>
      <c r="C11">
        <v>5.0250745369728067E-2</v>
      </c>
      <c r="D11">
        <v>5.025084380596101E-2</v>
      </c>
      <c r="E11">
        <v>4.9741974523636247E-2</v>
      </c>
      <c r="F11">
        <v>-5.6717610350826717E-2</v>
      </c>
      <c r="G11">
        <v>0.19675758927256631</v>
      </c>
      <c r="H11">
        <v>5.9881004199045032E-2</v>
      </c>
      <c r="I11">
        <v>-5.671758366625973E-2</v>
      </c>
      <c r="J11">
        <v>0.1967576093973504</v>
      </c>
      <c r="K11">
        <v>20.540861166313661</v>
      </c>
      <c r="L11">
        <v>19.381828187242949</v>
      </c>
      <c r="M11">
        <v>21.99526138499386</v>
      </c>
      <c r="N11">
        <v>20.222871250087628</v>
      </c>
      <c r="O11">
        <v>18.89764368518756</v>
      </c>
      <c r="P11">
        <v>21.445789795893688</v>
      </c>
      <c r="R11">
        <f t="shared" si="0"/>
        <v>-5.0882155089218561E-4</v>
      </c>
      <c r="S11">
        <f t="shared" si="1"/>
        <v>9.6302081245165996E-3</v>
      </c>
    </row>
    <row r="12" spans="1:19" x14ac:dyDescent="0.35">
      <c r="Q12" t="s">
        <v>18</v>
      </c>
      <c r="R12">
        <f>AVERAGE(R2:R11)</f>
        <v>2.6359743270163393E-2</v>
      </c>
      <c r="S12">
        <f>AVERAGE(S2:S11)</f>
        <v>1.0644300086286123E-2</v>
      </c>
    </row>
    <row r="13" spans="1:19" x14ac:dyDescent="0.35">
      <c r="Q13" t="s">
        <v>19</v>
      </c>
      <c r="R13" cm="1">
        <f t="array" ref="R13">GEOMEAN(1+(R2:R11))-1</f>
        <v>2.6241964901819514E-2</v>
      </c>
      <c r="S13" cm="1">
        <f t="array" ref="S13">GEOMEAN(1+(S2:S11))-1</f>
        <v>1.0586437767166501E-2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D. Gutiérrez Valencia</cp:lastModifiedBy>
  <dcterms:created xsi:type="dcterms:W3CDTF">2026-03-18T18:27:51Z</dcterms:created>
  <dcterms:modified xsi:type="dcterms:W3CDTF">2026-03-18T18:43:14Z</dcterms:modified>
</cp:coreProperties>
</file>